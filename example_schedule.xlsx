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<sst xmlns="http://schemas.openxmlformats.org/spreadsheetml/2006/main" count="110" uniqueCount="46">
  <si>
    <t>Date</t>
  </si>
  <si>
    <t>Topic</t>
  </si>
  <si>
    <t>Associated Reading</t>
  </si>
  <si>
    <t>Assignment</t>
  </si>
  <si>
    <t>Wednesday</t>
  </si>
  <si>
    <t>Course Intro and Motivation; Survey of Computer Setups</t>
  </si>
  <si>
    <t>Assignment 1</t>
  </si>
  <si>
    <t>Friday</t>
  </si>
  <si>
    <t>Computer Setup - Access to Python and Psi4</t>
  </si>
  <si>
    <t xml:space="preserve">MolSSI Workshop, Psi4: https://youtu.be/ItNdmODVgp0?feature=shared, https://youtu.be/MmG-g3SEFbk?feature=shared, https://youtu.be/bYuxB37ewf0?feature=shared </t>
  </si>
  <si>
    <t>Monday</t>
  </si>
  <si>
    <t>MLK Day, No Classes</t>
  </si>
  <si>
    <t>Refresher on Quantum Mechanics - Postulates and Spin 1/2</t>
  </si>
  <si>
    <t>https://weichman.princeton.edu/wp-content/uploads/2023/04/CHM-502-3-Two-Level-Systems.pdf</t>
  </si>
  <si>
    <t>Introduction to linear algebra in python with spin 1/2</t>
  </si>
  <si>
    <t>Complete spin 1/2 notebook and answer questions; Due 1/26</t>
  </si>
  <si>
    <t>Refresher on Quantum Mechanics - Harmonic Oscillator</t>
  </si>
  <si>
    <t>https://weichman.princeton.edu/wp-content/uploads/2023/11/chm305_2023_lecture9.pdf</t>
  </si>
  <si>
    <t>Refresher on Quantum Mechanics - Anharmonic Oscillator and Perturbation Theory</t>
  </si>
  <si>
    <t>Perturbation Theory Applied to the CO Fundamental Transition</t>
  </si>
  <si>
    <t>Complete PT Notebook and complete analysis questions at the end; due 2/9</t>
  </si>
  <si>
    <t xml:space="preserve">Refresher on Quantum Mechanics - Variational Theorem </t>
  </si>
  <si>
    <t>Refresher on Quantum Mechanics - Linear Variational Method</t>
  </si>
  <si>
    <t>Extending Spin 1/2 Notebook to Spin-Boson Model</t>
  </si>
  <si>
    <t xml:space="preserve">Incorporate Spin Boson </t>
  </si>
  <si>
    <t>2nd Quantization and Harmonic Oscillator</t>
  </si>
  <si>
    <t xml:space="preserve">Minimal Coupling Hamiltonian </t>
  </si>
  <si>
    <t>Dynamics of a Coherent State</t>
  </si>
  <si>
    <t>Unitary Operators - Basic Properties and BCH Expansion</t>
  </si>
  <si>
    <t>Modeling a harmonic vibrational mode coupled to a photon within the minimal coupling Hamiltonian Part 1</t>
  </si>
  <si>
    <t>Unitary Operators - Position and Momentum Shifts</t>
  </si>
  <si>
    <t>Deriving the d.E and PF Transformation fromm the p.A Hamiltonian</t>
  </si>
  <si>
    <t>Modeling a harmonic vibrational mode coupled to a photon within the minimal coupling Hamiltonian Part 2</t>
  </si>
  <si>
    <t>Spring Break</t>
  </si>
  <si>
    <t>Modeling Matter: Overview of Electronic Structure Theory, Basis Set and Correlation</t>
  </si>
  <si>
    <t>Modeling Matter: Hartree-Fock Theory - General Overview</t>
  </si>
  <si>
    <t>Modeling a harmonic vibrational mode coupled to a photon within the Pauli-Fierz Hamiltonian Part 1</t>
  </si>
  <si>
    <t>Modeling Matter: Hartree-Fock Theory - Energy of a Slater Determinants</t>
  </si>
  <si>
    <t>Group Work on projects</t>
  </si>
  <si>
    <t>Modeling Matter: Basis sets</t>
  </si>
  <si>
    <t>Modeling Matter: General Overview of Electronic Structure Theories beyond HF</t>
  </si>
  <si>
    <t>Modeling Matter: Geometry Optimization Algorithms for Minima and Transition States</t>
  </si>
  <si>
    <t>Special Presentations Part 1</t>
  </si>
  <si>
    <t>Special Presentations Part 2</t>
  </si>
  <si>
    <t>Final Presentations Part 1</t>
  </si>
  <si>
    <r>
      <rPr/>
      <t xml:space="preserve">Final Presentations Part 2 </t>
    </r>
    <r>
      <rPr>
        <color rgb="FF1155CC"/>
        <u/>
      </rPr>
      <t>(Final Schedule)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</si>
</sst>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4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1155CC"/>
      <name val="Arial"/>
    </font>
    <font>
      <u/>
      <sz val="11.0"/>
      <color rgb="FF0000FF"/>
    </font>
    <font>
      <color theme="1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sz val="11.0"/>
      <color theme="1"/>
      <name val="Calibri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1" fillId="3" fontId="2" numFmtId="164" xfId="0" applyAlignment="1" applyBorder="1" applyFont="1" applyNumberFormat="1">
      <alignment horizontal="right"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1" fillId="3" fontId="4" numFmtId="0" xfId="0" applyAlignment="1" applyBorder="1" applyFont="1">
      <alignment horizontal="left" readingOrder="0"/>
    </xf>
    <xf borderId="1" fillId="2" fontId="5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4" fontId="2" numFmtId="164" xfId="0" applyAlignment="1" applyBorder="1" applyFont="1" applyNumberFormat="1">
      <alignment horizontal="right" readingOrder="0" shrinkToFit="0" vertical="bottom" wrapText="0"/>
    </xf>
    <xf borderId="1" fillId="4" fontId="6" numFmtId="0" xfId="0" applyAlignment="1" applyBorder="1" applyFont="1">
      <alignment readingOrder="0"/>
    </xf>
    <xf borderId="1" fillId="4" fontId="7" numFmtId="0" xfId="0" applyAlignment="1" applyBorder="1" applyFont="1">
      <alignment readingOrder="0" shrinkToFit="0" vertical="bottom" wrapText="0"/>
    </xf>
    <xf borderId="0" fillId="5" fontId="8" numFmtId="0" xfId="0" applyAlignment="1" applyFill="1" applyFont="1">
      <alignment horizontal="left" readingOrder="0"/>
    </xf>
    <xf borderId="1" fillId="6" fontId="1" numFmtId="0" xfId="0" applyAlignment="1" applyBorder="1" applyFill="1" applyFont="1">
      <alignment readingOrder="0"/>
    </xf>
    <xf borderId="1" fillId="6" fontId="2" numFmtId="164" xfId="0" applyAlignment="1" applyBorder="1" applyFont="1" applyNumberFormat="1">
      <alignment horizontal="right" readingOrder="0" shrinkToFit="0" vertical="bottom" wrapText="0"/>
    </xf>
    <xf borderId="1" fillId="6" fontId="2" numFmtId="0" xfId="0" applyAlignment="1" applyBorder="1" applyFont="1">
      <alignment readingOrder="0" shrinkToFit="0" vertical="bottom" wrapText="0"/>
    </xf>
    <xf borderId="1" fillId="6" fontId="2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readingOrder="0"/>
    </xf>
    <xf borderId="1" fillId="3" fontId="2" numFmtId="0" xfId="0" applyAlignment="1" applyBorder="1" applyFont="1">
      <alignment readingOrder="0" shrinkToFit="0" vertical="bottom" wrapText="0"/>
    </xf>
    <xf borderId="1" fillId="3" fontId="9" numFmtId="0" xfId="0" applyAlignment="1" applyBorder="1" applyFont="1">
      <alignment readingOrder="0" shrinkToFit="0" vertical="bottom" wrapText="0"/>
    </xf>
    <xf borderId="1" fillId="4" fontId="10" numFmtId="0" xfId="0" applyAlignment="1" applyBorder="1" applyFont="1">
      <alignment readingOrder="0" shrinkToFit="0" vertical="bottom" wrapText="0"/>
    </xf>
    <xf borderId="1" fillId="4" fontId="2" numFmtId="0" xfId="0" applyAlignment="1" applyBorder="1" applyFont="1">
      <alignment shrinkToFit="0" vertical="bottom" wrapText="0"/>
    </xf>
    <xf borderId="1" fillId="6" fontId="11" numFmtId="0" xfId="0" applyAlignment="1" applyBorder="1" applyFont="1">
      <alignment readingOrder="0" shrinkToFit="0" vertical="bottom" wrapText="0"/>
    </xf>
    <xf borderId="1" fillId="3" fontId="2" numFmtId="0" xfId="0" applyAlignment="1" applyBorder="1" applyFont="1">
      <alignment shrinkToFit="0" vertical="bottom" wrapText="0"/>
    </xf>
    <xf borderId="1" fillId="4" fontId="2" numFmtId="0" xfId="0" applyAlignment="1" applyBorder="1" applyFont="1">
      <alignment readingOrder="0" shrinkToFit="0" vertical="bottom" wrapText="0"/>
    </xf>
    <xf borderId="1" fillId="4" fontId="2" numFmtId="0" xfId="0" applyAlignment="1" applyBorder="1" applyFont="1">
      <alignment readingOrder="0" shrinkToFit="0" vertical="bottom" wrapText="0"/>
    </xf>
    <xf borderId="1" fillId="4" fontId="12" numFmtId="0" xfId="0" applyAlignment="1" applyBorder="1" applyFont="1">
      <alignment readingOrder="0" shrinkToFit="0" vertical="bottom" wrapText="0"/>
    </xf>
    <xf borderId="1" fillId="6" fontId="1" numFmtId="0" xfId="0" applyBorder="1" applyFont="1"/>
    <xf borderId="1" fillId="3" fontId="6" numFmtId="0" xfId="0" applyAlignment="1" applyBorder="1" applyFont="1">
      <alignment readingOrder="0"/>
    </xf>
    <xf borderId="1" fillId="3" fontId="6" numFmtId="0" xfId="0" applyBorder="1" applyFont="1"/>
    <xf borderId="1" fillId="4" fontId="6" numFmtId="0" xfId="0" applyBorder="1" applyFont="1"/>
    <xf borderId="1" fillId="6" fontId="6" numFmtId="0" xfId="0" applyBorder="1" applyFont="1"/>
    <xf borderId="1" fillId="6" fontId="6" numFmtId="0" xfId="0" applyAlignment="1" applyBorder="1" applyFont="1">
      <alignment readingOrder="0"/>
    </xf>
    <xf borderId="2" fillId="4" fontId="2" numFmtId="164" xfId="0" applyAlignment="1" applyBorder="1" applyFont="1" applyNumberFormat="1">
      <alignment horizontal="right" readingOrder="0" shrinkToFit="0" vertical="bottom" wrapText="0"/>
    </xf>
    <xf borderId="1" fillId="4" fontId="13" numFmtId="0" xfId="0" applyAlignment="1" applyBorder="1" applyFont="1">
      <alignment readingOrder="0"/>
    </xf>
    <xf borderId="0" fillId="0" fontId="2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-rqagJqqwPWytDWnPCb7zLrFYW4HmPoYCP7nZJ9l8siEt_g/viewform" TargetMode="External"/><Relationship Id="rId2" Type="http://schemas.openxmlformats.org/officeDocument/2006/relationships/hyperlink" Target="https://docs.google.com/document/d/1ZHoORB2LXtAnHcb73xCNv_poTaPaAsvFonbIlXcsHQ4/edit?usp=sharing" TargetMode="External"/><Relationship Id="rId3" Type="http://schemas.openxmlformats.org/officeDocument/2006/relationships/hyperlink" Target="https://weichman.princeton.edu/wp-content/uploads/2023/04/CHM-502-3-Two-Level-Systems.pdf" TargetMode="External"/><Relationship Id="rId4" Type="http://schemas.openxmlformats.org/officeDocument/2006/relationships/hyperlink" Target="https://colab.research.google.com/drive/1cFSUuagc6XS957LMdlMCbfVQ4F7UuKEN?usp=drive_link" TargetMode="External"/><Relationship Id="rId5" Type="http://schemas.openxmlformats.org/officeDocument/2006/relationships/hyperlink" Target="https://weichman.princeton.edu/wp-content/uploads/2023/11/chm305_2023_lecture9.pdf" TargetMode="External"/><Relationship Id="rId6" Type="http://schemas.openxmlformats.org/officeDocument/2006/relationships/hyperlink" Target="https://colab.research.google.com/drive/1JP24psU80NWley7Ry_um15AhmfUlik1G?usp=sharing" TargetMode="External"/><Relationship Id="rId7" Type="http://schemas.openxmlformats.org/officeDocument/2006/relationships/hyperlink" Target="https://ninercentral.charlotte.edu/wp-content/uploads/sites/803/2023/10/Spring-2024-Final-Exam-Table.pdf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2.13"/>
    <col customWidth="1" min="4" max="4" width="39.5"/>
    <col customWidth="1" min="5" max="5" width="32.25"/>
  </cols>
  <sheetData>
    <row r="2">
      <c r="A2" s="1"/>
      <c r="B2" s="2" t="s">
        <v>0</v>
      </c>
      <c r="C2" s="2" t="s">
        <v>1</v>
      </c>
      <c r="D2" s="2" t="s">
        <v>2</v>
      </c>
      <c r="E2" s="3" t="s">
        <v>3</v>
      </c>
    </row>
    <row r="3">
      <c r="A3" s="4" t="s">
        <v>4</v>
      </c>
      <c r="B3" s="5">
        <v>45301.0</v>
      </c>
      <c r="C3" s="6" t="s">
        <v>5</v>
      </c>
      <c r="D3" s="7"/>
      <c r="E3" s="8" t="s">
        <v>6</v>
      </c>
    </row>
    <row r="4">
      <c r="A4" s="9" t="s">
        <v>7</v>
      </c>
      <c r="B4" s="10">
        <f>B3+2</f>
        <v>45303</v>
      </c>
      <c r="C4" s="11" t="s">
        <v>8</v>
      </c>
      <c r="D4" s="12" t="s">
        <v>9</v>
      </c>
      <c r="E4" s="13"/>
    </row>
    <row r="5">
      <c r="A5" s="14" t="s">
        <v>10</v>
      </c>
      <c r="B5" s="15">
        <v>45306.0</v>
      </c>
      <c r="C5" s="16" t="s">
        <v>11</v>
      </c>
      <c r="D5" s="17"/>
      <c r="E5" s="18"/>
    </row>
    <row r="6">
      <c r="A6" s="4" t="s">
        <v>4</v>
      </c>
      <c r="B6" s="5">
        <f t="shared" ref="B6:B7" si="1">B5+2</f>
        <v>45308</v>
      </c>
      <c r="C6" s="19" t="s">
        <v>12</v>
      </c>
      <c r="D6" s="20" t="s">
        <v>13</v>
      </c>
      <c r="E6" s="18"/>
    </row>
    <row r="7">
      <c r="A7" s="9" t="s">
        <v>7</v>
      </c>
      <c r="B7" s="10">
        <f t="shared" si="1"/>
        <v>45310</v>
      </c>
      <c r="C7" s="21" t="s">
        <v>14</v>
      </c>
      <c r="D7" s="22"/>
      <c r="E7" s="3" t="s">
        <v>15</v>
      </c>
    </row>
    <row r="8">
      <c r="A8" s="14" t="s">
        <v>10</v>
      </c>
      <c r="B8" s="15">
        <f>B5+7</f>
        <v>45313</v>
      </c>
      <c r="C8" s="16" t="s">
        <v>16</v>
      </c>
      <c r="D8" s="23" t="s">
        <v>17</v>
      </c>
      <c r="E8" s="3"/>
    </row>
    <row r="9">
      <c r="A9" s="4" t="s">
        <v>4</v>
      </c>
      <c r="B9" s="5">
        <f t="shared" ref="B9:B10" si="2">B8+2</f>
        <v>45315</v>
      </c>
      <c r="C9" s="19" t="s">
        <v>18</v>
      </c>
      <c r="D9" s="24"/>
      <c r="E9" s="3"/>
    </row>
    <row r="10">
      <c r="A10" s="9" t="s">
        <v>7</v>
      </c>
      <c r="B10" s="10">
        <f t="shared" si="2"/>
        <v>45317</v>
      </c>
      <c r="C10" s="25" t="s">
        <v>19</v>
      </c>
      <c r="D10" s="26"/>
      <c r="E10" s="3" t="s">
        <v>20</v>
      </c>
    </row>
    <row r="11">
      <c r="A11" s="14" t="s">
        <v>10</v>
      </c>
      <c r="B11" s="15">
        <f>B8+7</f>
        <v>45320</v>
      </c>
      <c r="C11" s="16" t="s">
        <v>21</v>
      </c>
      <c r="D11" s="17"/>
      <c r="E11" s="3"/>
    </row>
    <row r="12">
      <c r="A12" s="4" t="s">
        <v>4</v>
      </c>
      <c r="B12" s="5">
        <f t="shared" ref="B12:B13" si="3">B11+2</f>
        <v>45322</v>
      </c>
      <c r="C12" s="19" t="s">
        <v>22</v>
      </c>
      <c r="D12" s="19"/>
      <c r="E12" s="1"/>
    </row>
    <row r="13">
      <c r="A13" s="9" t="s">
        <v>7</v>
      </c>
      <c r="B13" s="10">
        <f t="shared" si="3"/>
        <v>45324</v>
      </c>
      <c r="C13" s="27" t="s">
        <v>23</v>
      </c>
      <c r="D13" s="22"/>
      <c r="E13" s="3" t="s">
        <v>24</v>
      </c>
    </row>
    <row r="14">
      <c r="A14" s="14" t="s">
        <v>10</v>
      </c>
      <c r="B14" s="15">
        <f>B11+7</f>
        <v>45327</v>
      </c>
      <c r="C14" s="16" t="s">
        <v>25</v>
      </c>
      <c r="D14" s="16"/>
      <c r="E14" s="1"/>
    </row>
    <row r="15">
      <c r="A15" s="4" t="s">
        <v>4</v>
      </c>
      <c r="B15" s="5">
        <f t="shared" ref="B15:B16" si="4">B14+2</f>
        <v>45329</v>
      </c>
      <c r="C15" s="16" t="s">
        <v>25</v>
      </c>
      <c r="D15" s="24"/>
      <c r="E15" s="1"/>
    </row>
    <row r="16">
      <c r="A16" s="9" t="s">
        <v>7</v>
      </c>
      <c r="B16" s="10">
        <f t="shared" si="4"/>
        <v>45331</v>
      </c>
      <c r="C16" s="27" t="s">
        <v>19</v>
      </c>
      <c r="D16" s="26"/>
      <c r="E16" s="3"/>
    </row>
    <row r="17">
      <c r="A17" s="14" t="s">
        <v>10</v>
      </c>
      <c r="B17" s="15">
        <f>B14+7</f>
        <v>45334</v>
      </c>
      <c r="C17" s="16" t="s">
        <v>25</v>
      </c>
      <c r="D17" s="16"/>
      <c r="E17" s="1"/>
    </row>
    <row r="18">
      <c r="A18" s="4" t="s">
        <v>4</v>
      </c>
      <c r="B18" s="5">
        <f t="shared" ref="B18:B19" si="5">B17+2</f>
        <v>45336</v>
      </c>
      <c r="C18" s="16" t="s">
        <v>26</v>
      </c>
      <c r="D18" s="19"/>
      <c r="E18" s="1"/>
    </row>
    <row r="19">
      <c r="A19" s="9" t="s">
        <v>7</v>
      </c>
      <c r="B19" s="10">
        <f t="shared" si="5"/>
        <v>45338</v>
      </c>
      <c r="C19" s="21" t="s">
        <v>27</v>
      </c>
      <c r="D19" s="22"/>
      <c r="E19" s="3"/>
    </row>
    <row r="20">
      <c r="A20" s="14" t="s">
        <v>10</v>
      </c>
      <c r="B20" s="15">
        <f>B17+7</f>
        <v>45341</v>
      </c>
      <c r="C20" s="16" t="s">
        <v>26</v>
      </c>
      <c r="D20" s="16"/>
      <c r="E20" s="3"/>
    </row>
    <row r="21">
      <c r="A21" s="4" t="s">
        <v>4</v>
      </c>
      <c r="B21" s="5">
        <f t="shared" ref="B21:B22" si="6">B20+2</f>
        <v>45343</v>
      </c>
      <c r="C21" s="19" t="s">
        <v>28</v>
      </c>
      <c r="D21" s="24"/>
      <c r="E21" s="3"/>
    </row>
    <row r="22">
      <c r="A22" s="9" t="s">
        <v>7</v>
      </c>
      <c r="B22" s="10">
        <f t="shared" si="6"/>
        <v>45345</v>
      </c>
      <c r="C22" s="26" t="s">
        <v>29</v>
      </c>
      <c r="D22" s="26"/>
      <c r="E22" s="3"/>
    </row>
    <row r="23">
      <c r="A23" s="14" t="s">
        <v>10</v>
      </c>
      <c r="B23" s="15">
        <f>B20+7</f>
        <v>45348</v>
      </c>
      <c r="C23" s="16" t="s">
        <v>30</v>
      </c>
      <c r="D23" s="17"/>
      <c r="E23" s="3"/>
    </row>
    <row r="24">
      <c r="A24" s="4" t="s">
        <v>4</v>
      </c>
      <c r="B24" s="5">
        <f t="shared" ref="B24:B25" si="7">B23+2</f>
        <v>45350</v>
      </c>
      <c r="C24" s="19" t="s">
        <v>31</v>
      </c>
      <c r="D24" s="19"/>
      <c r="E24" s="3"/>
    </row>
    <row r="25">
      <c r="A25" s="9" t="s">
        <v>7</v>
      </c>
      <c r="B25" s="10">
        <f t="shared" si="7"/>
        <v>45352</v>
      </c>
      <c r="C25" s="26" t="s">
        <v>32</v>
      </c>
      <c r="D25" s="22"/>
      <c r="E25" s="3"/>
    </row>
    <row r="26">
      <c r="A26" s="14" t="s">
        <v>10</v>
      </c>
      <c r="B26" s="15">
        <f>B23+7</f>
        <v>45355</v>
      </c>
      <c r="C26" s="16" t="s">
        <v>33</v>
      </c>
      <c r="D26" s="16"/>
      <c r="E26" s="3"/>
    </row>
    <row r="27">
      <c r="A27" s="4" t="s">
        <v>4</v>
      </c>
      <c r="B27" s="5">
        <f t="shared" ref="B27:B28" si="8">B26+2</f>
        <v>45357</v>
      </c>
      <c r="C27" s="19" t="s">
        <v>33</v>
      </c>
      <c r="D27" s="19"/>
      <c r="E27" s="3"/>
    </row>
    <row r="28">
      <c r="A28" s="9" t="s">
        <v>7</v>
      </c>
      <c r="B28" s="10">
        <f t="shared" si="8"/>
        <v>45359</v>
      </c>
      <c r="C28" s="26" t="s">
        <v>33</v>
      </c>
      <c r="D28" s="26"/>
      <c r="E28" s="1"/>
    </row>
    <row r="29">
      <c r="A29" s="14" t="s">
        <v>10</v>
      </c>
      <c r="B29" s="15">
        <f>B26+7</f>
        <v>45362</v>
      </c>
      <c r="C29" s="16" t="s">
        <v>34</v>
      </c>
      <c r="D29" s="17"/>
      <c r="E29" s="1"/>
    </row>
    <row r="30">
      <c r="A30" s="4" t="s">
        <v>4</v>
      </c>
      <c r="B30" s="5">
        <f t="shared" ref="B30:B31" si="9">B29+2</f>
        <v>45364</v>
      </c>
      <c r="C30" s="19" t="s">
        <v>35</v>
      </c>
      <c r="D30" s="19"/>
      <c r="E30" s="1"/>
    </row>
    <row r="31">
      <c r="A31" s="9" t="s">
        <v>7</v>
      </c>
      <c r="B31" s="10">
        <f t="shared" si="9"/>
        <v>45366</v>
      </c>
      <c r="C31" s="26" t="s">
        <v>36</v>
      </c>
      <c r="D31" s="22"/>
      <c r="E31" s="3"/>
    </row>
    <row r="32">
      <c r="A32" s="14" t="s">
        <v>10</v>
      </c>
      <c r="B32" s="15">
        <f>B29+7</f>
        <v>45369</v>
      </c>
      <c r="C32" s="16" t="s">
        <v>37</v>
      </c>
      <c r="D32" s="16"/>
      <c r="E32" s="3"/>
    </row>
    <row r="33">
      <c r="A33" s="4" t="s">
        <v>4</v>
      </c>
      <c r="B33" s="5">
        <f t="shared" ref="B33:B34" si="10">B32+2</f>
        <v>45371</v>
      </c>
      <c r="C33" s="19" t="s">
        <v>38</v>
      </c>
      <c r="D33" s="24"/>
      <c r="E33" s="1"/>
    </row>
    <row r="34">
      <c r="A34" s="9" t="s">
        <v>7</v>
      </c>
      <c r="B34" s="10">
        <f t="shared" si="10"/>
        <v>45373</v>
      </c>
      <c r="C34" s="26" t="s">
        <v>38</v>
      </c>
      <c r="D34" s="26"/>
      <c r="E34" s="1"/>
    </row>
    <row r="35">
      <c r="A35" s="14" t="s">
        <v>10</v>
      </c>
      <c r="B35" s="15">
        <f>B32+7</f>
        <v>45376</v>
      </c>
      <c r="C35" s="14" t="s">
        <v>39</v>
      </c>
      <c r="D35" s="28"/>
      <c r="E35" s="1"/>
    </row>
    <row r="36">
      <c r="A36" s="4" t="s">
        <v>4</v>
      </c>
      <c r="B36" s="5">
        <f t="shared" ref="B36:B37" si="11">B35+2</f>
        <v>45378</v>
      </c>
      <c r="C36" s="29" t="s">
        <v>38</v>
      </c>
      <c r="D36" s="30"/>
    </row>
    <row r="37">
      <c r="A37" s="9" t="s">
        <v>7</v>
      </c>
      <c r="B37" s="10">
        <f t="shared" si="11"/>
        <v>45380</v>
      </c>
      <c r="C37" s="11" t="s">
        <v>38</v>
      </c>
      <c r="D37" s="31"/>
    </row>
    <row r="38">
      <c r="A38" s="14" t="s">
        <v>10</v>
      </c>
      <c r="B38" s="15">
        <f>B35+7</f>
        <v>45383</v>
      </c>
      <c r="C38" s="14" t="s">
        <v>40</v>
      </c>
      <c r="D38" s="32"/>
    </row>
    <row r="39">
      <c r="A39" s="4" t="s">
        <v>4</v>
      </c>
      <c r="B39" s="5">
        <f t="shared" ref="B39:B40" si="12">B38+2</f>
        <v>45385</v>
      </c>
      <c r="C39" s="29" t="s">
        <v>38</v>
      </c>
      <c r="D39" s="30"/>
    </row>
    <row r="40">
      <c r="A40" s="9" t="s">
        <v>7</v>
      </c>
      <c r="B40" s="10">
        <f t="shared" si="12"/>
        <v>45387</v>
      </c>
      <c r="C40" s="11" t="s">
        <v>38</v>
      </c>
      <c r="D40" s="31"/>
    </row>
    <row r="41">
      <c r="A41" s="14" t="s">
        <v>10</v>
      </c>
      <c r="B41" s="15">
        <f>B38+7</f>
        <v>45390</v>
      </c>
      <c r="C41" s="33" t="s">
        <v>41</v>
      </c>
      <c r="D41" s="32"/>
    </row>
    <row r="42">
      <c r="A42" s="4" t="s">
        <v>4</v>
      </c>
      <c r="B42" s="5">
        <f t="shared" ref="B42:B43" si="13">B41+2</f>
        <v>45392</v>
      </c>
      <c r="C42" s="29" t="s">
        <v>38</v>
      </c>
      <c r="D42" s="30"/>
    </row>
    <row r="43">
      <c r="A43" s="9" t="s">
        <v>7</v>
      </c>
      <c r="B43" s="10">
        <f t="shared" si="13"/>
        <v>45394</v>
      </c>
      <c r="C43" s="11" t="s">
        <v>38</v>
      </c>
      <c r="D43" s="31"/>
    </row>
    <row r="44">
      <c r="A44" s="14" t="s">
        <v>10</v>
      </c>
      <c r="B44" s="15">
        <f>B41+7</f>
        <v>45397</v>
      </c>
      <c r="C44" s="33" t="s">
        <v>42</v>
      </c>
      <c r="D44" s="32"/>
    </row>
    <row r="45">
      <c r="A45" s="4" t="s">
        <v>4</v>
      </c>
      <c r="B45" s="5">
        <f t="shared" ref="B45:B46" si="14">B44+2</f>
        <v>45399</v>
      </c>
      <c r="C45" s="29" t="s">
        <v>38</v>
      </c>
      <c r="D45" s="30"/>
    </row>
    <row r="46">
      <c r="A46" s="9" t="s">
        <v>7</v>
      </c>
      <c r="B46" s="10">
        <f t="shared" si="14"/>
        <v>45401</v>
      </c>
      <c r="C46" s="11" t="s">
        <v>38</v>
      </c>
      <c r="D46" s="31"/>
    </row>
    <row r="47">
      <c r="A47" s="14" t="s">
        <v>10</v>
      </c>
      <c r="B47" s="15">
        <f>B44+7</f>
        <v>45404</v>
      </c>
      <c r="C47" s="33" t="s">
        <v>43</v>
      </c>
      <c r="D47" s="32"/>
    </row>
    <row r="48">
      <c r="A48" s="4" t="s">
        <v>4</v>
      </c>
      <c r="B48" s="5">
        <f t="shared" ref="B48:B49" si="15">B47+2</f>
        <v>45406</v>
      </c>
      <c r="C48" s="29" t="s">
        <v>38</v>
      </c>
      <c r="D48" s="30"/>
    </row>
    <row r="49">
      <c r="A49" s="9" t="s">
        <v>7</v>
      </c>
      <c r="B49" s="10">
        <f t="shared" si="15"/>
        <v>45408</v>
      </c>
      <c r="C49" s="11" t="s">
        <v>38</v>
      </c>
      <c r="D49" s="31"/>
    </row>
    <row r="50">
      <c r="A50" s="14" t="s">
        <v>10</v>
      </c>
      <c r="B50" s="15">
        <f>B47+7</f>
        <v>45411</v>
      </c>
      <c r="C50" s="33" t="s">
        <v>44</v>
      </c>
      <c r="D50" s="32"/>
    </row>
    <row r="51">
      <c r="A51" s="4" t="s">
        <v>4</v>
      </c>
      <c r="B51" s="5">
        <f t="shared" ref="B51:B52" si="16">B50+2</f>
        <v>45413</v>
      </c>
      <c r="C51" s="29"/>
      <c r="D51" s="30"/>
    </row>
    <row r="52">
      <c r="A52" s="9" t="s">
        <v>7</v>
      </c>
      <c r="B52" s="34">
        <f t="shared" si="16"/>
        <v>45415</v>
      </c>
      <c r="C52" s="35" t="s">
        <v>45</v>
      </c>
      <c r="D52" s="31"/>
    </row>
    <row r="53">
      <c r="B53" s="36"/>
    </row>
    <row r="54">
      <c r="B54" s="36"/>
    </row>
    <row r="55">
      <c r="B55" s="36"/>
    </row>
    <row r="56">
      <c r="B56" s="36"/>
    </row>
    <row r="57">
      <c r="B57" s="36"/>
    </row>
    <row r="58">
      <c r="B58" s="36"/>
    </row>
    <row r="59">
      <c r="B59" s="36"/>
    </row>
    <row r="60">
      <c r="B60" s="36"/>
    </row>
    <row r="61">
      <c r="B61" s="36"/>
    </row>
    <row r="62">
      <c r="B62" s="36"/>
    </row>
    <row r="63">
      <c r="B63" s="36"/>
    </row>
  </sheetData>
  <hyperlinks>
    <hyperlink r:id="rId1" ref="C3"/>
    <hyperlink r:id="rId2" ref="E3"/>
    <hyperlink r:id="rId3" ref="D6"/>
    <hyperlink r:id="rId4" ref="C7"/>
    <hyperlink r:id="rId5" ref="D8"/>
    <hyperlink r:id="rId6" ref="C19"/>
    <hyperlink r:id="rId7" ref="C52"/>
  </hyperlinks>
  <drawing r:id="rId8"/>
</worksheet>
</file>